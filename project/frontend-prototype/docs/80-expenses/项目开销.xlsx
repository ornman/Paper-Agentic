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账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项目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righ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日期</t>
        </is>
      </c>
      <c r="B1" s="1" t="inlineStr">
        <is>
          <t>类别</t>
        </is>
      </c>
      <c r="C1" s="1" t="inlineStr">
        <is>
          <t>项目</t>
        </is>
      </c>
      <c r="D1" s="1" t="inlineStr">
        <is>
          <t>说明</t>
        </is>
      </c>
      <c r="E1" s="1" t="inlineStr">
        <is>
          <t>金额(元)</t>
        </is>
      </c>
      <c r="F1" s="1" t="inlineStr">
        <is>
          <t>支付方式</t>
        </is>
      </c>
      <c r="G1" s="1" t="inlineStr">
        <is>
          <t>备注</t>
        </is>
      </c>
    </row>
    <row r="2">
      <c r="A2" s="2" t="inlineStr">
        <is>
          <t>2026-03-20</t>
        </is>
      </c>
      <c r="B2" s="2" t="inlineStr">
        <is>
          <t>开发</t>
        </is>
      </c>
      <c r="C2" s="2" t="inlineStr">
        <is>
          <t>UI原型</t>
        </is>
      </c>
      <c r="D2" s="2" t="inlineStr">
        <is>
          <t>Vue 前端开发</t>
        </is>
      </c>
      <c r="E2" s="3" t="n">
        <v>0</v>
      </c>
      <c r="F2" s="2" t="inlineStr">
        <is>
          <t>自研</t>
        </is>
      </c>
      <c r="G2" s="2" t="inlineStr">
        <is>
          <t>纯前端展示</t>
        </is>
      </c>
    </row>
    <row r="3">
      <c r="A3" s="2" t="inlineStr">
        <is>
          <t>2026-03-21</t>
        </is>
      </c>
      <c r="B3" s="2" t="inlineStr">
        <is>
          <t>工具</t>
        </is>
      </c>
      <c r="C3" s="2" t="inlineStr">
        <is>
          <t>WPS插件</t>
        </is>
      </c>
      <c r="D3" s="2" t="inlineStr">
        <is>
          <t>wpsjs 调试环境</t>
        </is>
      </c>
      <c r="E3" s="3" t="n">
        <v>0</v>
      </c>
      <c r="F3" s="2" t="inlineStr">
        <is>
          <t>自研</t>
        </is>
      </c>
      <c r="G3" s="2" t="inlineStr"/>
    </row>
    <row r="5">
      <c r="D5" s="4" t="inlineStr">
        <is>
          <t>合计:</t>
        </is>
      </c>
      <c r="E5" s="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类别</t>
        </is>
      </c>
      <c r="B1" s="6" t="inlineStr">
        <is>
          <t>金额(元)</t>
        </is>
      </c>
    </row>
    <row r="2">
      <c r="A2" t="inlineStr">
        <is>
          <t>开发</t>
        </is>
      </c>
      <c r="B2">
        <f>SUMIF(明细账!B:B,"开发",明细账!E:E)</f>
        <v/>
      </c>
    </row>
    <row r="3">
      <c r="A3" t="inlineStr">
        <is>
          <t>工具</t>
        </is>
      </c>
      <c r="B3">
        <f>SUMIF(明细账!B:B,"工具",明细账!E:E)</f>
        <v/>
      </c>
    </row>
    <row r="4">
      <c r="A4" t="inlineStr">
        <is>
          <t>API</t>
        </is>
      </c>
      <c r="B4">
        <f>SUMIF(明细账!B:B,"API",明细账!E:E)</f>
        <v/>
      </c>
    </row>
    <row r="5">
      <c r="A5" t="inlineStr">
        <is>
          <t>设计</t>
        </is>
      </c>
      <c r="B5">
        <f>SUMIF(明细账!B:B,"设计",明细账!E:E)</f>
        <v/>
      </c>
    </row>
    <row r="6">
      <c r="A6" t="inlineStr">
        <is>
          <t>服务器</t>
        </is>
      </c>
      <c r="B6">
        <f>SUMIF(明细账!B:B,"服务器",明细账!E:E)</f>
        <v/>
      </c>
    </row>
    <row r="7">
      <c r="A7" t="inlineStr">
        <is>
          <t>其他</t>
        </is>
      </c>
      <c r="B7">
        <f>SUMIF(明细账!B:B,"其他",明细账!E:E)</f>
        <v/>
      </c>
    </row>
    <row r="9">
      <c r="A9" s="4" t="inlineStr">
        <is>
          <t>总计:</t>
        </is>
      </c>
      <c r="B9">
        <f>SUM(B2:B7)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4" t="inlineStr">
        <is>
          <t>项目名称</t>
        </is>
      </c>
      <c r="B1" s="7" t="inlineStr">
        <is>
          <t>WPS 论文写作辅助工具 - UI 原型</t>
        </is>
      </c>
    </row>
    <row r="2">
      <c r="A2" s="4" t="inlineStr">
        <is>
          <t>创建日期</t>
        </is>
      </c>
      <c r="B2" s="7" t="inlineStr">
        <is>
          <t>2026-03-23</t>
        </is>
      </c>
    </row>
    <row r="3">
      <c r="A3" s="4" t="inlineStr">
        <is>
          <t>状态</t>
        </is>
      </c>
      <c r="B3" s="7" t="inlineStr">
        <is>
          <t>已冻结</t>
        </is>
      </c>
    </row>
    <row r="4">
      <c r="A4" s="4" t="inlineStr">
        <is>
          <t>负责人</t>
        </is>
      </c>
      <c r="B4" s="7" t="inlineStr"/>
    </row>
    <row r="5">
      <c r="A5" s="4" t="inlineStr">
        <is>
          <t>预算(元)</t>
        </is>
      </c>
      <c r="B5" s="7" t="n">
        <v>0</v>
      </c>
    </row>
    <row r="6">
      <c r="A6" s="4" t="inlineStr">
        <is>
          <t>已花费(元)</t>
        </is>
      </c>
      <c r="B6" s="8">
        <f>分类汇总!B9</f>
        <v/>
      </c>
    </row>
    <row r="7">
      <c r="A7" s="4" t="inlineStr">
        <is>
          <t>剩余(元)</t>
        </is>
      </c>
      <c r="B7" s="8">
        <f>E5-E6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2026-03-23T09:59:39Z</dcterms:created>
  <dcterms:modified xmlns:dcterms="http://purl.org/dc/terms/" xmlns:xsi="http://www.w3.org/2001/XMLSchema-instance" xsi:type="dcterms:W3CDTF">2026-03-23T09:59:39Z</dcterms:modified>
</cp:coreProperties>
</file>