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2"/>
  </bookViews>
  <sheets>
    <sheet name="明细账" sheetId="1" r:id="rId1"/>
    <sheet name="分类汇总" sheetId="2" r:id="rId2"/>
    <sheet name="项目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<sst xmlns="http://schemas.openxmlformats.org/spreadsheetml/2006/main" count="54" uniqueCount="46">
  <si>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 xml:space="preserve"> 序号</t>
  </si>
  <si>
    <t>日期</t>
  </si>
  <si>
    <t xml:space="preserve"> 费用类型</t>
  </si>
  <si>
    <t>内容详情</t>
  </si>
  <si>
    <t>说明</t>
  </si>
  <si>
    <t>备注</t>
  </si>
  <si>
    <t xml:space="preserve">厂商实际订阅费 </t>
  </si>
  <si>
    <t xml:space="preserve"> 优惠</t>
  </si>
  <si>
    <t xml:space="preserve"> 金额（年）</t>
  </si>
  <si>
    <t>支付单号</t>
  </si>
  <si>
    <t>支付方式</t>
  </si>
  <si>
    <t>2026-03-20</t>
  </si>
  <si>
    <t>UI原型</t>
  </si>
  <si>
    <t>Vue 前端开发</t>
  </si>
  <si>
    <t>纯前端展示</t>
  </si>
  <si>
    <t xml:space="preserve"> </t>
  </si>
  <si>
    <t>2026-03-23</t>
  </si>
  <si>
    <t>智谱 GLM</t>
  </si>
  <si>
    <t>CodingPlanMax 包年</t>
  </si>
  <si>
    <t>Max 套餐，连续包年8折</t>
  </si>
  <si>
    <t>API</t>
  </si>
  <si>
    <t>Kimi</t>
  </si>
  <si>
    <t>Allegretto 包年</t>
  </si>
  <si>
    <t>¥159/月×12</t>
  </si>
  <si>
    <t>Minimax</t>
  </si>
  <si>
    <t>Max 套餐，立省¥300</t>
  </si>
  <si>
    <t>硅基流动</t>
  </si>
  <si>
    <t>合计:</t>
  </si>
  <si>
    <t>类别</t>
  </si>
  <si>
    <t>金额(元)</t>
  </si>
  <si>
    <t>开发</t>
  </si>
  <si>
    <t>工具</t>
  </si>
  <si>
    <t>设计</t>
  </si>
  <si>
    <t>服务器</t>
  </si>
  <si>
    <t>其他</t>
  </si>
  <si>
    <t>总计:</t>
  </si>
  <si>
    <t>项目名称</t>
  </si>
  <si>
    <t>WPS 论文写作辅助工具 - UI 原型</t>
  </si>
  <si>
    <t>创建日期</t>
  </si>
  <si>
    <t>状态</t>
  </si>
  <si>
    <t>已冻结</t>
  </si>
  <si>
    <t>负责人</t>
  </si>
  <si>
    <t/>
  </si>
  <si>
    <t>预算(元)</t>
  </si>
  <si>
    <t>已花费(元)</t>
  </si>
  <si>
    <t>剩余(元)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</si>
</sst>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F5" sqref="F5"/>
    </sheetView>
  </sheetViews>
  <sheetFormatPr defaultColWidth="9" defaultRowHeight="14.1" outlineLevelRow="7"/>
  <cols>
    <col min="2" max="2" width="12" customWidth="1"/>
    <col min="3" max="3" width="11.963963963964" customWidth="1"/>
    <col min="4" max="4" width="15" customWidth="1"/>
    <col min="5" max="5" width="25" customWidth="1"/>
    <col min="6" max="6" width="23.2702702702703" customWidth="1"/>
    <col min="7" max="7" width="25" customWidth="1"/>
    <col min="9" max="9" width="12.5045045045045" customWidth="1"/>
    <col min="10" max="10" width="22" customWidth="1"/>
    <col min="11" max="11" width="12" customWidth="1"/>
  </cols>
  <sheetData>
    <row r="1" ht="15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6">
        <v>1</v>
      </c>
      <c r="B2" s="7" t="s">
        <v>11</v>
      </c>
      <c r="C2" s="7"/>
      <c r="D2" s="7" t="s">
        <v>12</v>
      </c>
      <c r="E2" s="7" t="s">
        <v>13</v>
      </c>
      <c r="F2" s="7" t="s">
        <v>14</v>
      </c>
      <c r="G2" s="7"/>
      <c r="H2" s="6" t="s">
        <v>15</v>
      </c>
      <c r="I2" s="8">
        <v>0</v>
      </c>
      <c r="J2" s="6" t="s">
        <v>15</v>
      </c>
      <c r="K2" s="7"/>
    </row>
    <row r="3" spans="1:11">
      <c r="A3" s="6">
        <v>2</v>
      </c>
      <c r="B3" s="6" t="s">
        <v>16</v>
      </c>
      <c r="C3" s="6" t="s">
        <v>15</v>
      </c>
      <c r="D3" s="6" t="s">
        <v>17</v>
      </c>
      <c r="E3" s="6" t="s">
        <v>18</v>
      </c>
      <c r="F3" s="6" t="s">
        <v>19</v>
      </c>
      <c r="G3" s="6"/>
      <c r="H3" s="6"/>
      <c r="I3" s="8">
        <v>4502.4</v>
      </c>
      <c r="J3" s="6"/>
      <c r="K3" s="6"/>
    </row>
    <row r="4" spans="1:11">
      <c r="A4" s="6">
        <v>3</v>
      </c>
      <c r="B4" s="6" t="s">
        <v>16</v>
      </c>
      <c r="C4" s="6" t="s">
        <v>20</v>
      </c>
      <c r="D4" s="6" t="s">
        <v>21</v>
      </c>
      <c r="E4" s="6" t="s">
        <v>22</v>
      </c>
      <c r="F4" s="6" t="s">
        <v>23</v>
      </c>
      <c r="G4" s="6"/>
      <c r="H4" s="6"/>
      <c r="I4" s="8">
        <v>1908</v>
      </c>
      <c r="J4" s="6"/>
      <c r="K4" s="6"/>
    </row>
    <row r="5" spans="1:11">
      <c r="A5" s="6">
        <v>4</v>
      </c>
      <c r="B5" s="6" t="s">
        <v>16</v>
      </c>
      <c r="C5" s="6" t="s">
        <v>20</v>
      </c>
      <c r="D5" s="6" t="s">
        <v>24</v>
      </c>
      <c r="E5" s="6" t="s">
        <v>18</v>
      </c>
      <c r="F5" s="6" t="s">
        <v>25</v>
      </c>
      <c r="G5" s="6"/>
      <c r="H5" s="6"/>
      <c r="I5" s="8">
        <v>1190</v>
      </c>
      <c r="J5" s="6"/>
      <c r="K5" s="6"/>
    </row>
    <row r="6" spans="1:11">
      <c r="A6" s="6">
        <v>5</v>
      </c>
      <c r="B6" s="6"/>
      <c r="C6" s="6"/>
      <c r="D6" s="6" t="s">
        <v>26</v>
      </c>
      <c r="E6" s="6"/>
      <c r="F6" s="6"/>
      <c r="G6" s="6"/>
      <c r="H6" s="6"/>
      <c r="I6" s="8"/>
      <c r="J6" s="6"/>
      <c r="K6" s="6"/>
    </row>
    <row r="8" spans="1:11">
      <c r="E8" s="1" t="s">
        <v>27</v>
      </c>
      <c r="G8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C33" sqref="C33"/>
    </sheetView>
  </sheetViews>
  <sheetFormatPr defaultColWidth="9" defaultRowHeight="14.1" outlineLevelCol="1"/>
  <cols>
    <col min="1" max="2" width="12" customWidth="1"/>
  </cols>
  <sheetData>
    <row r="1" ht="15" spans="1:2">
      <c r="A1" s="4" t="s">
        <v>28</v>
      </c>
      <c r="B1" s="4" t="s">
        <v>29</v>
      </c>
    </row>
    <row r="2" spans="1:2">
      <c r="A2" t="s">
        <v>30</v>
      </c>
      <c r="B2">
        <f>SUMIF(明细账!C:C,"开发",明细账!J:J)</f>
        <v>0</v>
      </c>
    </row>
    <row r="3" spans="1:2">
      <c r="A3" t="s">
        <v>31</v>
      </c>
      <c r="B3">
        <f>SUMIF(明细账!C:C,"API",明细账!J:J)</f>
        <v>0</v>
      </c>
    </row>
    <row r="4" spans="1:2">
      <c r="A4" t="s">
        <v>20</v>
      </c>
      <c r="B4">
        <f>SUMIF(明细账!C:C,"API",明细账!J:J)</f>
        <v>0</v>
      </c>
    </row>
    <row r="5" spans="1:2">
      <c r="A5" t="s">
        <v>32</v>
      </c>
      <c r="B5">
        <f>SUMIF(明细账!C:C,"设计",明细账!J:J)</f>
        <v>0</v>
      </c>
    </row>
    <row r="6" spans="1:2">
      <c r="A6" t="s">
        <v>33</v>
      </c>
      <c r="B6">
        <f>SUMIF(明细账!C:C,"服务器",明细账!J:J)</f>
        <v>0</v>
      </c>
    </row>
    <row r="7" spans="1:2">
      <c r="A7" t="s">
        <v>34</v>
      </c>
      <c r="B7">
        <f>SUMIF(明细账!C:C,"其他",明细账!J:J)</f>
        <v>0</v>
      </c>
    </row>
    <row r="9" spans="1:2">
      <c r="A9" s="1" t="s">
        <v>35</v>
      </c>
      <c r="B9">
        <f>SUM(B2:B7)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7" sqref="A7"/>
    </sheetView>
  </sheetViews>
  <sheetFormatPr defaultColWidth="9" defaultRowHeight="14.1" outlineLevelRow="6" outlineLevelCol="1"/>
  <cols>
    <col min="1" max="1" width="15" customWidth="1"/>
    <col min="2" max="2" width="35" customWidth="1"/>
  </cols>
  <sheetData>
    <row r="1" spans="1:2">
      <c r="A1" s="1" t="s">
        <v>36</v>
      </c>
      <c r="B1" s="2" t="s">
        <v>37</v>
      </c>
    </row>
    <row r="2" spans="1:2">
      <c r="A2" s="1" t="s">
        <v>38</v>
      </c>
      <c r="B2" s="2" t="s">
        <v>16</v>
      </c>
    </row>
    <row r="3" spans="1:2">
      <c r="A3" s="1" t="s">
        <v>39</v>
      </c>
      <c r="B3" s="2" t="s">
        <v>40</v>
      </c>
    </row>
    <row r="4" spans="1:2">
      <c r="A4" s="1" t="s">
        <v>41</v>
      </c>
      <c r="B4" s="2" t="s">
        <v>42</v>
      </c>
    </row>
    <row r="5" spans="1:2">
      <c r="A5" s="1" t="s">
        <v>43</v>
      </c>
      <c r="B5" s="2">
        <v>15000</v>
      </c>
    </row>
    <row r="6" spans="1:2">
      <c r="A6" s="1" t="s">
        <v>44</v>
      </c>
      <c r="B6" s="3">
        <f>分类汇总!B9</f>
        <v>0</v>
      </c>
    </row>
    <row r="7" spans="1:2">
      <c r="A7" s="1" t="s">
        <v>45</v>
      </c>
      <c r="B7" s="3">
        <f>E5-E6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明细账</vt:lpstr>
      <vt:lpstr>分类汇总</vt:lpstr>
      <vt:lpstr>项目信息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三.君</cp:lastModifiedBy>
  <dcterms:created xsi:type="dcterms:W3CDTF">2026-03-23T09:59:00Z</dcterms:created>
  <dcterms:modified xsi:type="dcterms:W3CDTF">2026-03-23T12:25:44Z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F5200CE1A72E40D5A4A4C53B1F97D483_12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